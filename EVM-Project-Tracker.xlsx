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ummary" sheetId="2" r:id="rId1"/>
    <sheet name="EVM Data" sheetId="1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<sst xmlns="http://schemas.openxmlformats.org/spreadsheetml/2006/main" count="62" uniqueCount="56">
  <si>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Project Performance Summary</t>
  </si>
  <si>
    <t>Inputs</t>
  </si>
  <si>
    <t>Budget at Completion (BAC)</t>
  </si>
  <si>
    <t>Source: approved project budget (fictional example)</t>
  </si>
  <si>
    <t>Status period (1–8)</t>
  </si>
  <si>
    <t>Change to see performance at any reported period</t>
  </si>
  <si>
    <t>Values at status period</t>
  </si>
  <si>
    <t>Planned Value (PV)</t>
  </si>
  <si>
    <t>Value of work planned to date</t>
  </si>
  <si>
    <t>Earned Value (EV)</t>
  </si>
  <si>
    <t>Value of work actually completed</t>
  </si>
  <si>
    <t>Actual Cost (AC)</t>
  </si>
  <si>
    <t>What the completed work actually cost</t>
  </si>
  <si>
    <t>Performance</t>
  </si>
  <si>
    <t>Cost Variance (CV)</t>
  </si>
  <si>
    <t>EV − AC  (negative = over budget)</t>
  </si>
  <si>
    <t>Schedule Variance (SV)</t>
  </si>
  <si>
    <t>EV − PV  (negative = behind schedule)</t>
  </si>
  <si>
    <t>Cost Performance Index (CPI)</t>
  </si>
  <si>
    <t>EV ÷ AC  (below 1 = over budget)</t>
  </si>
  <si>
    <t>Schedule Performance Index (SPI)</t>
  </si>
  <si>
    <t>EV ÷ PV  (below 1 = behind schedule)</t>
  </si>
  <si>
    <t>Forecast</t>
  </si>
  <si>
    <t>Estimate at Completion (EAC)</t>
  </si>
  <si>
    <t>BAC ÷ CPI  (if current cost performance continues)</t>
  </si>
  <si>
    <t>Estimate to Complete (ETC)</t>
  </si>
  <si>
    <t>EAC − AC</t>
  </si>
  <si>
    <t>Variance at Completion (VAC)</t>
  </si>
  <si>
    <t>BAC − EAC  (negative = expected overspend)</t>
  </si>
  <si>
    <t>To-Complete Performance Index (TCPI)</t>
  </si>
  <si>
    <t>Efficiency needed on remaining work to finish on budget</t>
  </si>
  <si>
    <t>Status</t>
  </si>
  <si>
    <t>Cost status</t>
  </si>
  <si>
    <t>Green ≥ 0.95 · Amber ≥ 0.90 · Red &lt; 0.90</t>
  </si>
  <si>
    <t>Schedule status</t>
  </si>
  <si>
    <t>Earned Value Tracker — Restaurant POS Upgrade (fictional example)</t>
  </si>
  <si>
    <t>Cumulative values in GBP. Blue cells are inputs; black cells are formulas. Leave EV and AC blank for future periods.</t>
  </si>
  <si>
    <t>Period</t>
  </si>
  <si>
    <t>Month</t>
  </si>
  <si>
    <t>CPI</t>
  </si>
  <si>
    <t>SPI</t>
  </si>
  <si>
    <t>Jan</t>
  </si>
  <si>
    <t>Feb</t>
  </si>
  <si>
    <t>Mar</t>
  </si>
  <si>
    <t>Apr</t>
  </si>
  <si>
    <t>May</t>
  </si>
  <si>
    <t>Jun</t>
  </si>
  <si>
    <t>Jul</t>
  </si>
  <si>
    <t>Aug</t>
  </si>
  <si>
    <t>How to use this tracker</t>
  </si>
  <si>
    <t>1. On 'EVM Data', enter cumulative Planned Value (PV) for every period from the baseline plan.</t>
  </si>
  <si>
    <t>2. Each reporting period, enter cumulative Earned Value (EV) and Actual Cost (AC). Leave future periods blank.</t>
  </si>
  <si>
    <t>3. On 'Summary', set the status period. All variances, indices, forecasts and RAG statuses update automatically.</t>
  </si>
  <si>
    <t>Colour key: blue text = input you edit · black text = formula · yellow fill = key assumption.</t>
  </si>
  <si>
    <t>Earned Value = % of work complete × budget for that work (BAC).</t>
  </si>
  <si>
    <t>All figures are illustrative and belong to a fictional example project.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</si>
</sst>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£&quot;#,##0;\(&quot;£&quot;#,##0\);\-"/>
  </numFmts>
  <fonts count="28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i/>
      <sz val="10"/>
      <color rgb="FF808080"/>
      <name val="Arial"/>
      <charset val="134"/>
    </font>
    <font>
      <b/>
      <sz val="10"/>
      <color rgb="FFFFFFFF"/>
      <name val="Arial"/>
      <charset val="134"/>
    </font>
    <font>
      <sz val="10"/>
      <color rgb="FF0000FF"/>
      <name val="Arial"/>
      <charset val="134"/>
    </font>
    <font>
      <b/>
      <sz val="10"/>
      <color theme="1"/>
      <name val="Arial"/>
      <charset val="134"/>
    </font>
    <font>
      <b/>
      <sz val="10"/>
      <color rgb="FF1B3950"/>
      <name val="Arial"/>
      <charset val="134"/>
    </font>
    <font>
      <sz val="10"/>
      <color rgb="FF80808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B39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178" fontId="5" fillId="0" borderId="1" xfId="0" applyNumberFormat="1" applyFont="1" applyBorder="1">
      <alignment vertical="center"/>
    </xf>
    <xf numFmtId="178" fontId="1" fillId="0" borderId="1" xfId="0" applyNumberFormat="1" applyFont="1" applyBorder="1">
      <alignment vertical="center"/>
    </xf>
    <xf numFmtId="2" fontId="1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5" fillId="3" borderId="0" xfId="0" applyFont="1" applyFill="1">
      <alignment vertical="center"/>
    </xf>
    <xf numFmtId="0" fontId="7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2" fontId="1" fillId="0" borderId="0" xfId="0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Cumulative PV vs EV vs AC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"Planned Value (PV)"</c:f>
              <c:strCache>
                <c:ptCount val="1"/>
                <c:pt idx="0">
                  <c:v>Planned Value (PV)</c:v>
                </c:pt>
              </c:strCache>
            </c:strRef>
          </c:tx>
          <c:spPr>
            <a:ln w="38100" cap="rnd" cmpd="sng" algn="ctr">
              <a:solidFill>
                <a:srgbClr val="808080"/>
              </a:solidFill>
              <a:prstDash val="solid"/>
              <a:round/>
            </a:ln>
          </c:spPr>
          <c:marker>
            <c:spPr>
              <a:solidFill>
                <a:srgbClr val="808080"/>
              </a:solidFill>
              <a:ln w="12700" cap="flat" cmpd="sng" algn="ctr">
                <a:solidFill>
                  <a:srgbClr val="808080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'EVM Data'!$B$5:$B$12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'EVM Data'!$C$5:$C$12</c:f>
              <c:numCache>
                <c:formatCode>"£"#,##0;\("£"#,##0\);\-</c:formatCode>
                <c:ptCount val="8"/>
                <c:pt idx="0">
                  <c:v>20000</c:v>
                </c:pt>
                <c:pt idx="1">
                  <c:v>45000</c:v>
                </c:pt>
                <c:pt idx="2">
                  <c:v>75000</c:v>
                </c:pt>
                <c:pt idx="3">
                  <c:v>110000</c:v>
                </c:pt>
                <c:pt idx="4">
                  <c:v>145000</c:v>
                </c:pt>
                <c:pt idx="5">
                  <c:v>180000</c:v>
                </c:pt>
                <c:pt idx="6">
                  <c:v>215000</c:v>
                </c:pt>
                <c:pt idx="7">
                  <c:v>240000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"Earned Value (EV)"</c:f>
              <c:strCache>
                <c:ptCount val="1"/>
                <c:pt idx="0">
                  <c:v>Earned Value (EV)</c:v>
                </c:pt>
              </c:strCache>
            </c:strRef>
          </c:tx>
          <c:spPr>
            <a:ln w="38100" cap="rnd" cmpd="sng" algn="ctr">
              <a:solidFill>
                <a:srgbClr val="008B8B"/>
              </a:solidFill>
              <a:prstDash val="solid"/>
              <a:round/>
            </a:ln>
          </c:spPr>
          <c:marker>
            <c:spPr>
              <a:solidFill>
                <a:srgbClr val="008B8B"/>
              </a:solidFill>
              <a:ln w="12700" cap="flat" cmpd="sng" algn="ctr">
                <a:solidFill>
                  <a:srgbClr val="008B8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'EVM Data'!$B$5:$B$12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'EVM Data'!$D$5:$D$12</c:f>
              <c:numCache>
                <c:formatCode>"£"#,##0;\("£"#,##0\);\-</c:formatCode>
                <c:ptCount val="8"/>
                <c:pt idx="0">
                  <c:v>18000</c:v>
                </c:pt>
                <c:pt idx="1">
                  <c:v>40000</c:v>
                </c:pt>
                <c:pt idx="2">
                  <c:v>66000</c:v>
                </c:pt>
                <c:pt idx="3">
                  <c:v>98000</c:v>
                </c:pt>
                <c:pt idx="4">
                  <c:v>130000</c:v>
                </c:pt>
                <c:pt idx="5">
                  <c:v>160000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"Actual Cost (AC)"</c:f>
              <c:strCache>
                <c:ptCount val="1"/>
                <c:pt idx="0">
                  <c:v>Actual Cost (AC)</c:v>
                </c:pt>
              </c:strCache>
            </c:strRef>
          </c:tx>
          <c:spPr>
            <a:ln w="38100" cap="rnd" cmpd="sng" algn="ctr">
              <a:solidFill>
                <a:srgbClr val="F16834"/>
              </a:solidFill>
              <a:prstDash val="solid"/>
              <a:round/>
            </a:ln>
          </c:spPr>
          <c:marker>
            <c:spPr>
              <a:solidFill>
                <a:srgbClr val="F16834"/>
              </a:solidFill>
              <a:ln w="12700" cap="flat" cmpd="sng" algn="ctr">
                <a:solidFill>
                  <a:srgbClr val="F16834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'EVM Data'!$B$5:$B$12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'EVM Data'!$E$5:$E$12</c:f>
              <c:numCache>
                <c:formatCode>"£"#,##0;\("£"#,##0\);\-</c:formatCode>
                <c:ptCount val="8"/>
                <c:pt idx="0">
                  <c:v>21000</c:v>
                </c:pt>
                <c:pt idx="1">
                  <c:v>47000</c:v>
                </c:pt>
                <c:pt idx="2">
                  <c:v>77000</c:v>
                </c:pt>
                <c:pt idx="3">
                  <c:v>112000</c:v>
                </c:pt>
                <c:pt idx="4">
                  <c:v>148000</c:v>
                </c:pt>
                <c:pt idx="5">
                  <c:v>185000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089002"/>
        <c:axId val="990315747"/>
      </c:lineChart>
      <c:catAx>
        <c:axId val="73208900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90315747"/>
        <c:crosses val="autoZero"/>
        <c:auto val="1"/>
        <c:lblAlgn val="ctr"/>
        <c:lblOffset val="100"/>
        <c:noMultiLvlLbl val="0"/>
      </c:catAx>
      <c:valAx>
        <c:axId val="990315747"/>
        <c:scaling>
          <c:orientation val="minMax"/>
        </c:scaling>
        <c:delete val="0"/>
        <c:axPos val="l"/>
        <c:majorGridlines/>
        <c:numFmt formatCode="&quot;£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3208900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254000</xdr:colOff>
      <xdr:row>16</xdr:row>
      <xdr:rowOff>88900</xdr:rowOff>
    </xdr:from>
    <xdr:to>
      <xdr:col>9</xdr:col>
      <xdr:colOff>254000</xdr:colOff>
      <xdr:row>38</xdr:row>
      <xdr:rowOff>152400</xdr:rowOff>
    </xdr:to>
    <xdr:graphicFrame>
      <xdr:nvGraphicFramePr>
        <xdr:cNvPr id="2" name="Chart 1"/>
        <xdr:cNvGraphicFramePr/>
      </xdr:nvGraphicFramePr>
      <xdr:xfrm>
        <a:off x="254000" y="2921000"/>
        <a:ext cx="787400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A1" sqref="A1"/>
    </sheetView>
  </sheetViews>
  <sheetFormatPr defaultColWidth="8.72727272727273" defaultRowHeight="12.5" outlineLevelCol="2"/>
  <cols>
    <col min="1" max="1" width="36.6363636363636" style="1" customWidth="1"/>
    <col min="2" max="2" width="14.6363636363636" style="1" customWidth="1"/>
    <col min="3" max="3" width="52.6363636363636" style="1" customWidth="1"/>
    <col min="4" max="16384" width="8.72727272727273" style="1"/>
  </cols>
  <sheetData>
    <row r="1" ht="18" spans="1:3">
      <c r="A1" s="2" t="s">
        <v>0</v>
      </c>
    </row>
    <row r="3" ht="13" spans="1:3">
      <c r="A3" s="9" t="s">
        <v>1</v>
      </c>
    </row>
    <row r="4" spans="1:3">
      <c r="A4" s="1" t="s">
        <v>2</v>
      </c>
      <c r="B4" s="10">
        <v>240000</v>
      </c>
      <c r="C4" s="3" t="s">
        <v>3</v>
      </c>
    </row>
    <row r="5" spans="1:3">
      <c r="A5" s="1" t="s">
        <v>4</v>
      </c>
      <c r="B5" s="10">
        <v>6</v>
      </c>
      <c r="C5" s="3" t="s">
        <v>5</v>
      </c>
    </row>
    <row r="7" ht="13" spans="1:3">
      <c r="A7" s="11" t="s">
        <v>6</v>
      </c>
    </row>
    <row r="8" spans="1:3">
      <c r="A8" s="1" t="s">
        <v>7</v>
      </c>
      <c r="B8" s="12">
        <f>INDEX('EVM Data'!C5:C12,B5)</f>
        <v>180000</v>
      </c>
      <c r="C8" s="13" t="s">
        <v>8</v>
      </c>
    </row>
    <row r="9" spans="1:3">
      <c r="A9" s="1" t="s">
        <v>9</v>
      </c>
      <c r="B9" s="12">
        <f>INDEX('EVM Data'!D5:D12,B5)</f>
        <v>160000</v>
      </c>
      <c r="C9" s="13" t="s">
        <v>10</v>
      </c>
    </row>
    <row r="10" spans="1:3">
      <c r="A10" s="1" t="s">
        <v>11</v>
      </c>
      <c r="B10" s="12">
        <f>INDEX('EVM Data'!E5:E12,B5)</f>
        <v>185000</v>
      </c>
      <c r="C10" s="13" t="s">
        <v>12</v>
      </c>
    </row>
    <row r="11" spans="1:3">
      <c r="B11" s="14"/>
      <c r="C11" s="15"/>
    </row>
    <row r="12" ht="13" spans="1:3">
      <c r="A12" s="11" t="s">
        <v>13</v>
      </c>
      <c r="B12" s="14"/>
      <c r="C12" s="15"/>
    </row>
    <row r="13" spans="1:3">
      <c r="A13" s="1" t="s">
        <v>14</v>
      </c>
      <c r="B13" s="12">
        <f>B9-B10</f>
        <v>-25000</v>
      </c>
      <c r="C13" s="13" t="s">
        <v>15</v>
      </c>
    </row>
    <row r="14" spans="1:3">
      <c r="A14" s="1" t="s">
        <v>16</v>
      </c>
      <c r="B14" s="12">
        <f>B9-B8</f>
        <v>-20000</v>
      </c>
      <c r="C14" s="13" t="s">
        <v>17</v>
      </c>
    </row>
    <row r="15" spans="1:3">
      <c r="A15" s="1" t="s">
        <v>18</v>
      </c>
      <c r="B15" s="16">
        <f>IF(B10=0,0,B9/B10)</f>
        <v>0.864864864864865</v>
      </c>
      <c r="C15" s="13" t="s">
        <v>19</v>
      </c>
    </row>
    <row r="16" spans="1:3">
      <c r="A16" s="1" t="s">
        <v>20</v>
      </c>
      <c r="B16" s="16">
        <f>IF(B8=0,0,B9/B8)</f>
        <v>0.888888888888889</v>
      </c>
      <c r="C16" s="13" t="s">
        <v>21</v>
      </c>
    </row>
    <row r="17" spans="1:3">
      <c r="B17" s="14"/>
      <c r="C17" s="15"/>
    </row>
    <row r="18" ht="13" spans="1:3">
      <c r="A18" s="11" t="s">
        <v>22</v>
      </c>
      <c r="B18" s="14"/>
      <c r="C18" s="15"/>
    </row>
    <row r="19" spans="1:3">
      <c r="A19" s="1" t="s">
        <v>23</v>
      </c>
      <c r="B19" s="12">
        <f>IF(B15=0,0,B4/B15)</f>
        <v>277500</v>
      </c>
      <c r="C19" s="13" t="s">
        <v>24</v>
      </c>
    </row>
    <row r="20" spans="1:3">
      <c r="A20" s="1" t="s">
        <v>25</v>
      </c>
      <c r="B20" s="12">
        <f>B19-B10</f>
        <v>92500</v>
      </c>
      <c r="C20" s="13" t="s">
        <v>26</v>
      </c>
    </row>
    <row r="21" spans="1:3">
      <c r="A21" s="1" t="s">
        <v>27</v>
      </c>
      <c r="B21" s="12">
        <f>B4-B19</f>
        <v>-37500</v>
      </c>
      <c r="C21" s="13" t="s">
        <v>28</v>
      </c>
    </row>
    <row r="22" spans="1:3">
      <c r="A22" s="1" t="s">
        <v>29</v>
      </c>
      <c r="B22" s="16">
        <f>IF((B4-B10)=0,0,(B4-B9)/(B4-B10))</f>
        <v>1.45454545454545</v>
      </c>
      <c r="C22" s="13" t="s">
        <v>30</v>
      </c>
    </row>
    <row r="23" spans="1:3">
      <c r="B23" s="14"/>
      <c r="C23" s="15"/>
    </row>
    <row r="24" ht="13" spans="1:3">
      <c r="A24" s="11" t="s">
        <v>31</v>
      </c>
      <c r="B24" s="14"/>
      <c r="C24" s="15"/>
    </row>
    <row r="25" spans="1:3">
      <c r="A25" s="1" t="s">
        <v>32</v>
      </c>
      <c r="B25" s="14" t="str">
        <f>IF(B15&gt;=0.95,"Green",IF(B15&gt;=0.9,"Amber","Red"))</f>
        <v>Red</v>
      </c>
      <c r="C25" s="13" t="s">
        <v>33</v>
      </c>
    </row>
    <row r="26" spans="1:3">
      <c r="A26" s="1" t="s">
        <v>34</v>
      </c>
      <c r="B26" s="14" t="str">
        <f>IF(B16&gt;=0.95,"Green",IF(B16&gt;=0.9,"Amber","Red"))</f>
        <v>Red</v>
      </c>
      <c r="C26" s="13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8.72727272727273" defaultRowHeight="12.5"/>
  <cols>
    <col min="1" max="2" width="8.63636363636364" style="1" customWidth="1"/>
    <col min="3" max="7" width="15.6363636363636" style="1" customWidth="1"/>
    <col min="8" max="9" width="8.63636363636364" style="1" customWidth="1"/>
    <col min="10" max="16384" width="8.72727272727273" style="1"/>
  </cols>
  <sheetData>
    <row r="1" ht="18" spans="1:9">
      <c r="A1" s="2" t="s">
        <v>35</v>
      </c>
    </row>
    <row r="2" spans="1:9">
      <c r="A2" s="3" t="s">
        <v>36</v>
      </c>
    </row>
    <row r="4" ht="30" customHeight="1" spans="1:9">
      <c r="A4" s="4" t="s">
        <v>37</v>
      </c>
      <c r="B4" s="4" t="s">
        <v>38</v>
      </c>
      <c r="C4" s="4" t="s">
        <v>7</v>
      </c>
      <c r="D4" s="4" t="s">
        <v>9</v>
      </c>
      <c r="E4" s="4" t="s">
        <v>11</v>
      </c>
      <c r="F4" s="4" t="s">
        <v>14</v>
      </c>
      <c r="G4" s="4" t="s">
        <v>16</v>
      </c>
      <c r="H4" s="4" t="s">
        <v>39</v>
      </c>
      <c r="I4" s="4" t="s">
        <v>40</v>
      </c>
    </row>
    <row r="5" spans="1:9">
      <c r="A5" s="5">
        <v>1</v>
      </c>
      <c r="B5" s="5" t="s">
        <v>41</v>
      </c>
      <c r="C5" s="6">
        <v>20000</v>
      </c>
      <c r="D5" s="6">
        <v>18000</v>
      </c>
      <c r="E5" s="6">
        <v>21000</v>
      </c>
      <c r="F5" s="7">
        <f>IF(OR(D5="",E5=""),"",D5-E5)</f>
        <v>-3000</v>
      </c>
      <c r="G5" s="7">
        <f>IF(D5="","",D5-C5)</f>
        <v>-2000</v>
      </c>
      <c r="H5" s="8">
        <f>IF(OR(D5="",E5="",E5=0),"",D5/E5)</f>
        <v>0.857142857142857</v>
      </c>
      <c r="I5" s="8">
        <f>IF(OR(D5="",C5=0),"",D5/C5)</f>
        <v>0.9</v>
      </c>
    </row>
    <row r="6" spans="1:9">
      <c r="A6" s="5">
        <v>2</v>
      </c>
      <c r="B6" s="5" t="s">
        <v>42</v>
      </c>
      <c r="C6" s="6">
        <v>45000</v>
      </c>
      <c r="D6" s="6">
        <v>40000</v>
      </c>
      <c r="E6" s="6">
        <v>47000</v>
      </c>
      <c r="F6" s="7">
        <f>IF(OR(D6="",E6=""),"",D6-E6)</f>
        <v>-7000</v>
      </c>
      <c r="G6" s="7">
        <f>IF(D6="","",D6-C6)</f>
        <v>-5000</v>
      </c>
      <c r="H6" s="8">
        <f>IF(OR(D6="",E6="",E6=0),"",D6/E6)</f>
        <v>0.851063829787234</v>
      </c>
      <c r="I6" s="8">
        <f>IF(OR(D6="",C6=0),"",D6/C6)</f>
        <v>0.888888888888889</v>
      </c>
    </row>
    <row r="7" spans="1:9">
      <c r="A7" s="5">
        <v>3</v>
      </c>
      <c r="B7" s="5" t="s">
        <v>43</v>
      </c>
      <c r="C7" s="6">
        <v>75000</v>
      </c>
      <c r="D7" s="6">
        <v>66000</v>
      </c>
      <c r="E7" s="6">
        <v>77000</v>
      </c>
      <c r="F7" s="7">
        <f>IF(OR(D7="",E7=""),"",D7-E7)</f>
        <v>-11000</v>
      </c>
      <c r="G7" s="7">
        <f>IF(D7="","",D7-C7)</f>
        <v>-9000</v>
      </c>
      <c r="H7" s="8">
        <f>IF(OR(D7="",E7="",E7=0),"",D7/E7)</f>
        <v>0.857142857142857</v>
      </c>
      <c r="I7" s="8">
        <f>IF(OR(D7="",C7=0),"",D7/C7)</f>
        <v>0.88</v>
      </c>
    </row>
    <row r="8" spans="1:9">
      <c r="A8" s="5">
        <v>4</v>
      </c>
      <c r="B8" s="5" t="s">
        <v>44</v>
      </c>
      <c r="C8" s="6">
        <v>110000</v>
      </c>
      <c r="D8" s="6">
        <v>98000</v>
      </c>
      <c r="E8" s="6">
        <v>112000</v>
      </c>
      <c r="F8" s="7">
        <f>IF(OR(D8="",E8=""),"",D8-E8)</f>
        <v>-14000</v>
      </c>
      <c r="G8" s="7">
        <f>IF(D8="","",D8-C8)</f>
        <v>-12000</v>
      </c>
      <c r="H8" s="8">
        <f>IF(OR(D8="",E8="",E8=0),"",D8/E8)</f>
        <v>0.875</v>
      </c>
      <c r="I8" s="8">
        <f>IF(OR(D8="",C8=0),"",D8/C8)</f>
        <v>0.890909090909091</v>
      </c>
    </row>
    <row r="9" spans="1:9">
      <c r="A9" s="5">
        <v>5</v>
      </c>
      <c r="B9" s="5" t="s">
        <v>45</v>
      </c>
      <c r="C9" s="6">
        <v>145000</v>
      </c>
      <c r="D9" s="6">
        <v>130000</v>
      </c>
      <c r="E9" s="6">
        <v>148000</v>
      </c>
      <c r="F9" s="7">
        <f>IF(OR(D9="",E9=""),"",D9-E9)</f>
        <v>-18000</v>
      </c>
      <c r="G9" s="7">
        <f>IF(D9="","",D9-C9)</f>
        <v>-15000</v>
      </c>
      <c r="H9" s="8">
        <f>IF(OR(D9="",E9="",E9=0),"",D9/E9)</f>
        <v>0.878378378378378</v>
      </c>
      <c r="I9" s="8">
        <f>IF(OR(D9="",C9=0),"",D9/C9)</f>
        <v>0.896551724137931</v>
      </c>
    </row>
    <row r="10" spans="1:9">
      <c r="A10" s="5">
        <v>6</v>
      </c>
      <c r="B10" s="5" t="s">
        <v>46</v>
      </c>
      <c r="C10" s="6">
        <v>180000</v>
      </c>
      <c r="D10" s="6">
        <v>160000</v>
      </c>
      <c r="E10" s="6">
        <v>185000</v>
      </c>
      <c r="F10" s="7">
        <f>IF(OR(D10="",E10=""),"",D10-E10)</f>
        <v>-25000</v>
      </c>
      <c r="G10" s="7">
        <f>IF(D10="","",D10-C10)</f>
        <v>-20000</v>
      </c>
      <c r="H10" s="8">
        <f>IF(OR(D10="",E10="",E10=0),"",D10/E10)</f>
        <v>0.864864864864865</v>
      </c>
      <c r="I10" s="8">
        <f>IF(OR(D10="",C10=0),"",D10/C10)</f>
        <v>0.888888888888889</v>
      </c>
    </row>
    <row r="11" spans="1:9">
      <c r="A11" s="5">
        <v>7</v>
      </c>
      <c r="B11" s="5" t="s">
        <v>47</v>
      </c>
      <c r="C11" s="6">
        <v>215000</v>
      </c>
      <c r="D11" s="6"/>
      <c r="E11" s="6"/>
      <c r="F11" s="7" t="str">
        <f>IF(OR(D11="",E11=""),"",D11-E11)</f>
        <v/>
      </c>
      <c r="G11" s="7" t="str">
        <f>IF(D11="","",D11-C11)</f>
        <v/>
      </c>
      <c r="H11" s="8" t="str">
        <f>IF(OR(D11="",E11="",E11=0),"",D11/E11)</f>
        <v/>
      </c>
      <c r="I11" s="8" t="str">
        <f>IF(OR(D11="",C11=0),"",D11/C11)</f>
        <v/>
      </c>
    </row>
    <row r="12" spans="1:9">
      <c r="A12" s="5">
        <v>8</v>
      </c>
      <c r="B12" s="5" t="s">
        <v>48</v>
      </c>
      <c r="C12" s="6">
        <v>240000</v>
      </c>
      <c r="D12" s="6"/>
      <c r="E12" s="6"/>
      <c r="F12" s="7" t="str">
        <f>IF(OR(D12="",E12=""),"",D12-E12)</f>
        <v/>
      </c>
      <c r="G12" s="7" t="str">
        <f>IF(D12="","",D12-C12)</f>
        <v/>
      </c>
      <c r="H12" s="8" t="str">
        <f>IF(OR(D12="",E12="",E12=0),"",D12/E12)</f>
        <v/>
      </c>
      <c r="I12" s="8" t="str">
        <f>IF(OR(D12="",C12=0),"",D12/C12)</f>
        <v/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8.72727272727273" defaultRowHeight="12.5"/>
  <cols>
    <col min="1" max="1" width="110.636363636364" style="1" customWidth="1"/>
    <col min="2" max="16384" width="8.72727272727273" style="1"/>
  </cols>
  <sheetData>
    <row r="1" ht="18" spans="1:1">
      <c r="A1" s="2" t="s">
        <v>49</v>
      </c>
    </row>
    <row r="3" spans="1:1">
      <c r="A3" s="1" t="s">
        <v>50</v>
      </c>
    </row>
    <row r="4" spans="1:1">
      <c r="A4" s="1" t="s">
        <v>51</v>
      </c>
    </row>
    <row r="5" spans="1:1">
      <c r="A5" s="1" t="s">
        <v>52</v>
      </c>
    </row>
    <row r="7" spans="1:1">
      <c r="A7" s="1" t="s">
        <v>53</v>
      </c>
    </row>
    <row r="9" spans="1:1">
      <c r="A9" s="1" t="s">
        <v>54</v>
      </c>
    </row>
    <row r="10" spans="1:1">
      <c r="A10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EVM Data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</dc:creator>
  <cp:lastModifiedBy>Hassan Khan</cp:lastModifiedBy>
  <dcterms:created xsi:type="dcterms:W3CDTF">2026-10-11T15:33:46Z</dcterms:created>
  <dcterms:modified xsi:type="dcterms:W3CDTF">2026-10-11T15:33:49Z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2F8A404F757B42D6935ED7920E0F6463_11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